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4CD372B-83C3-498E-94B4-58561488B9D4}" xr6:coauthVersionLast="47" xr6:coauthVersionMax="47" xr10:uidLastSave="{00000000-0000-0000-0000-000000000000}"/>
  <bookViews>
    <workbookView xWindow="-108" yWindow="-108" windowWidth="23256" windowHeight="13896" activeTab="4" xr2:uid="{9C731F9B-B1AE-4446-944C-CB851D372E8C}"/>
  </bookViews>
  <sheets>
    <sheet name="ORDERS" sheetId="1" r:id="rId1"/>
    <sheet name="CUSTOMERS" sheetId="3" r:id="rId2"/>
    <sheet name="PRODUCTS" sheetId="4" r:id="rId3"/>
    <sheet name="WORKING TABLE" sheetId="5" r:id="rId4"/>
    <sheet name="PIVOT TABLE" sheetId="6" r:id="rId5"/>
  </sheets>
  <definedNames>
    <definedName name="_xlnm._FilterDatabase" localSheetId="3" hidden="1">'WORKING TABLE'!$A$1:$K$11</definedName>
  </definedNames>
  <calcPr calcId="191029"/>
  <pivotCaches>
    <pivotCache cacheId="1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5" l="1"/>
  <c r="H21" i="5"/>
  <c r="D21" i="5"/>
  <c r="B21" i="5" s="1"/>
  <c r="J21" i="5"/>
  <c r="F21" i="5"/>
  <c r="I3" i="5"/>
  <c r="I4" i="5"/>
  <c r="I5" i="5"/>
  <c r="I6" i="5"/>
  <c r="I7" i="5"/>
  <c r="I8" i="5"/>
  <c r="I9" i="5"/>
  <c r="I10" i="5"/>
  <c r="I11" i="5"/>
  <c r="I2" i="5"/>
  <c r="K2" i="5" s="1"/>
  <c r="K10" i="5"/>
  <c r="D3" i="5"/>
  <c r="D4" i="5"/>
  <c r="D5" i="5"/>
  <c r="D6" i="5"/>
  <c r="D7" i="5"/>
  <c r="D8" i="5"/>
  <c r="D9" i="5"/>
  <c r="D10" i="5"/>
  <c r="D11" i="5"/>
  <c r="D2" i="5"/>
  <c r="J10" i="5"/>
  <c r="J9" i="5"/>
  <c r="J2" i="5"/>
  <c r="J11" i="5"/>
  <c r="J8" i="5"/>
  <c r="J6" i="5"/>
  <c r="J4" i="5"/>
  <c r="J7" i="5"/>
  <c r="J3" i="5"/>
  <c r="J5" i="5"/>
  <c r="G10" i="5"/>
  <c r="G9" i="5"/>
  <c r="G2" i="5"/>
  <c r="G11" i="5"/>
  <c r="G8" i="5"/>
  <c r="G6" i="5"/>
  <c r="G4" i="5"/>
  <c r="G7" i="5"/>
  <c r="G3" i="5"/>
  <c r="G5" i="5"/>
  <c r="F10" i="5"/>
  <c r="F9" i="5"/>
  <c r="F2" i="5"/>
  <c r="F11" i="5"/>
  <c r="F8" i="5"/>
  <c r="F6" i="5"/>
  <c r="F4" i="5"/>
  <c r="F7" i="5"/>
  <c r="F3" i="5"/>
  <c r="F5" i="5"/>
  <c r="E10" i="5"/>
  <c r="E9" i="5"/>
  <c r="E2" i="5"/>
  <c r="E11" i="5"/>
  <c r="E8" i="5"/>
  <c r="E6" i="5"/>
  <c r="E4" i="5"/>
  <c r="E7" i="5"/>
  <c r="E3" i="5"/>
  <c r="E5" i="5"/>
  <c r="C3" i="5"/>
  <c r="C10" i="5"/>
  <c r="C9" i="5"/>
  <c r="C2" i="5"/>
  <c r="C11" i="5"/>
  <c r="C8" i="5"/>
  <c r="C6" i="5"/>
  <c r="C4" i="5"/>
  <c r="C7" i="5"/>
  <c r="C5" i="5"/>
  <c r="K9" i="5" l="1"/>
  <c r="K6" i="5"/>
  <c r="K8" i="5"/>
  <c r="K11" i="5"/>
  <c r="K4" i="5"/>
  <c r="K5" i="5"/>
  <c r="K3" i="5"/>
  <c r="K7" i="5"/>
</calcChain>
</file>

<file path=xl/sharedStrings.xml><?xml version="1.0" encoding="utf-8"?>
<sst xmlns="http://schemas.openxmlformats.org/spreadsheetml/2006/main" count="131" uniqueCount="71">
  <si>
    <t>Order_ID</t>
  </si>
  <si>
    <t>Customer_ID</t>
  </si>
  <si>
    <t>Product_ID</t>
  </si>
  <si>
    <t>C001</t>
  </si>
  <si>
    <t>P101</t>
  </si>
  <si>
    <t>C002</t>
  </si>
  <si>
    <t>P102</t>
  </si>
  <si>
    <t>C003</t>
  </si>
  <si>
    <t>P103</t>
  </si>
  <si>
    <t>C004</t>
  </si>
  <si>
    <t>P104</t>
  </si>
  <si>
    <t>C005</t>
  </si>
  <si>
    <t>P105</t>
  </si>
  <si>
    <t>C006</t>
  </si>
  <si>
    <t>C007</t>
  </si>
  <si>
    <t>Customer_Name</t>
  </si>
  <si>
    <t>City</t>
  </si>
  <si>
    <t>Segment</t>
  </si>
  <si>
    <t>Rahul</t>
  </si>
  <si>
    <t>Chennai</t>
  </si>
  <si>
    <t>Retail</t>
  </si>
  <si>
    <t>Sneha</t>
  </si>
  <si>
    <t>Bangalore</t>
  </si>
  <si>
    <t>Corporate</t>
  </si>
  <si>
    <t>Amit</t>
  </si>
  <si>
    <t>Mumbai</t>
  </si>
  <si>
    <t>Neha</t>
  </si>
  <si>
    <t>Delhi</t>
  </si>
  <si>
    <t>Arjun</t>
  </si>
  <si>
    <t>Hyderabad</t>
  </si>
  <si>
    <t>Priya</t>
  </si>
  <si>
    <t>Pune</t>
  </si>
  <si>
    <t>Karthik</t>
  </si>
  <si>
    <t>Product_Name</t>
  </si>
  <si>
    <t>Category</t>
  </si>
  <si>
    <t>Price</t>
  </si>
  <si>
    <t>Laptop</t>
  </si>
  <si>
    <t>Electronics</t>
  </si>
  <si>
    <t>Smartphone</t>
  </si>
  <si>
    <t>Office Chair</t>
  </si>
  <si>
    <t>Furniture</t>
  </si>
  <si>
    <t>Desk</t>
  </si>
  <si>
    <t>Headphones</t>
  </si>
  <si>
    <t>Accessories</t>
  </si>
  <si>
    <t xml:space="preserve"> Order_ID </t>
  </si>
  <si>
    <t xml:space="preserve"> Date </t>
  </si>
  <si>
    <t xml:space="preserve"> Customer_Name </t>
  </si>
  <si>
    <t xml:space="preserve"> City </t>
  </si>
  <si>
    <t xml:space="preserve"> Segment </t>
  </si>
  <si>
    <t xml:space="preserve"> Product </t>
  </si>
  <si>
    <t xml:space="preserve"> Category </t>
  </si>
  <si>
    <t xml:space="preserve"> Qty </t>
  </si>
  <si>
    <t xml:space="preserve"> Price </t>
  </si>
  <si>
    <t xml:space="preserve"> Discount </t>
  </si>
  <si>
    <t xml:space="preserve"> Sales </t>
  </si>
  <si>
    <t>QUANTITY(CLEAN)</t>
  </si>
  <si>
    <t>DISCOUNT(CLEAN)</t>
  </si>
  <si>
    <t>ORDER_DATE (CLEAN)</t>
  </si>
  <si>
    <t>CUSTOMER_ID(CLEAN)</t>
  </si>
  <si>
    <t>UNKNOWN</t>
  </si>
  <si>
    <t xml:space="preserve">TOTAL SALES </t>
  </si>
  <si>
    <t>ELECTRONICS SALES</t>
  </si>
  <si>
    <t>CHENNAI SALES</t>
  </si>
  <si>
    <t>CORPORATE SALES</t>
  </si>
  <si>
    <t>TOTAL ORDERS</t>
  </si>
  <si>
    <t>ELECTRONICS ORDER COUNT</t>
  </si>
  <si>
    <t>Grand Total</t>
  </si>
  <si>
    <t xml:space="preserve">Sum of  Sales </t>
  </si>
  <si>
    <t>CATEGORY</t>
  </si>
  <si>
    <t>CITY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</si>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</sst>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3">
    <dxf>
      <alignment horizontal="general" vertical="center" textRotation="0" wrapText="1" indent="0" justifyLastLine="0" shrinkToFit="0" readingOrder="0"/>
    </dxf>
    <dxf>
      <numFmt numFmtId="19" formatCode="m/d/yyyy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[End-to-End Retail Sales Data Analysis in Excel.xlsx]PIVOT TABLE!PivotTable1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Bangalore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TABLE'!$A$3:$A$6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TABLE'!$B$3:$B$6</c:f>
              <c:numCache>
                <c:formatCode>General</c:formatCode>
                <c:ptCount val="3"/>
                <c:pt idx="0">
                  <c:v>27000</c:v>
                </c:pt>
                <c:pt idx="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9-4652-9F80-4ABFC69F54DC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Chennai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TABLE'!$A$3:$A$6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TABLE'!$C$3:$C$6</c:f>
              <c:numCache>
                <c:formatCode>General</c:formatCode>
                <c:ptCount val="3"/>
                <c:pt idx="1">
                  <c:v>50000</c:v>
                </c:pt>
                <c:pt idx="2">
                  <c:v>153000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99-4652-9F80-4ABFC69F54DC}"/>
            </c:ext>
          </c:extLst>
        </c:ser>
        <c:ser>
          <c:idx val="2"/>
          <c:order val="2"/>
          <c:tx>
            <c:strRef>
              <c:f>'PIVOT TABLE'!$D$1:$D$2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TABLE'!$A$3:$A$6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TABLE'!$D$3:$D$6</c:f>
              <c:numCache>
                <c:formatCode>General</c:formatCode>
                <c:ptCount val="3"/>
                <c:pt idx="2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499-4652-9F80-4ABFC69F54DC}"/>
            </c:ext>
          </c:extLst>
        </c:ser>
        <c:ser>
          <c:idx val="3"/>
          <c:order val="3"/>
          <c:tx>
            <c:strRef>
              <c:f>'PIVOT TABLE'!$E$1:$E$2</c:f>
              <c:strCache>
                <c:ptCount val="1"/>
                <c:pt idx="0">
                  <c:v>Hyderabad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TABLE'!$A$3:$A$6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TABLE'!$E$3:$E$6</c:f>
              <c:numCache>
                <c:formatCode>General</c:formatCode>
                <c:ptCount val="3"/>
                <c:pt idx="1">
                  <c:v>237500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499-4652-9F80-4ABFC69F54DC}"/>
            </c:ext>
          </c:extLst>
        </c:ser>
        <c:ser>
          <c:idx val="4"/>
          <c:order val="4"/>
          <c:tx>
            <c:strRef>
              <c:f>'PIVOT TABLE'!$F$1:$F$2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TABLE'!$A$3:$A$6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TABLE'!$F$3:$F$6</c:f>
              <c:numCache>
                <c:formatCode>General</c:formatCode>
                <c:ptCount val="3"/>
                <c:pt idx="1">
                  <c:v>450000</c:v>
                </c:pt>
                <c:pt idx="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499-4652-9F80-4ABFC69F54DC}"/>
            </c:ext>
          </c:extLst>
        </c:ser>
        <c:ser>
          <c:idx val="5"/>
          <c:order val="5"/>
          <c:tx>
            <c:strRef>
              <c:f>'PIVOT TABLE'!$G$1:$G$2</c:f>
              <c:strCache>
                <c:ptCount val="1"/>
                <c:pt idx="0">
                  <c:v>Pune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TABLE'!$A$3:$A$6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TABLE'!$G$3:$G$6</c:f>
              <c:numCache>
                <c:formatCode>General</c:formatCode>
                <c:ptCount val="3"/>
                <c:pt idx="1">
                  <c:v>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499-4652-9F80-4ABFC69F54DC}"/>
            </c:ext>
          </c:extLst>
        </c:ser>
        <c:ser>
          <c:idx val="6"/>
          <c:order val="6"/>
          <c:tx>
            <c:strRef>
              <c:f>'PIVOT TABLE'!$H$1:$H$2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TABLE'!$A$3:$A$6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TABLE'!$H$3:$H$6</c:f>
              <c:numCache>
                <c:formatCode>General</c:formatCode>
                <c:ptCount val="3"/>
                <c:pt idx="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499-4652-9F80-4ABFC69F5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550751"/>
        <c:axId val="327559391"/>
      </c:barChart>
      <c:catAx>
        <c:axId val="32755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59391"/>
        <c:crosses val="autoZero"/>
        <c:auto val="1"/>
        <c:lblAlgn val="ctr"/>
        <c:lblOffset val="100"/>
        <c:noMultiLvlLbl val="0"/>
      </c:catAx>
      <c:valAx>
        <c:axId val="32755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5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[End-to-End Retail Sales Data Analysis in Excel.xlsx]PIVOT TABLE!PivotTable2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CATEGORY</a:t>
            </a:r>
            <a:r>
              <a:rPr lang="en-US" baseline="0"/>
              <a:t> VS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TABLE'!$K$2:$K$5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TABLE'!$L$2:$L$5</c:f>
              <c:numCache>
                <c:formatCode>General</c:formatCode>
                <c:ptCount val="3"/>
                <c:pt idx="0">
                  <c:v>27000</c:v>
                </c:pt>
                <c:pt idx="1">
                  <c:v>852500</c:v>
                </c:pt>
                <c:pt idx="2">
                  <c:v>175000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F-4C94-9C5E-825C37126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327542591"/>
        <c:axId val="109710863"/>
      </c:barChart>
      <c:catAx>
        <c:axId val="32754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10863"/>
        <c:crosses val="autoZero"/>
        <c:auto val="1"/>
        <c:lblAlgn val="ctr"/>
        <c:lblOffset val="100"/>
        <c:noMultiLvlLbl val="0"/>
      </c:catAx>
      <c:valAx>
        <c:axId val="10971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4259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[End-to-End Retail Sales Data Analysis in Excel.xlsx]PIVOT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 VS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TABLE'!$A$19:$A$26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  <c:pt idx="6">
                  <c:v>UNKNOWN</c:v>
                </c:pt>
              </c:strCache>
            </c:strRef>
          </c:cat>
          <c:val>
            <c:numRef>
              <c:f>'PIVOT TABLE'!$B$19:$B$26</c:f>
              <c:numCache>
                <c:formatCode>General</c:formatCode>
                <c:ptCount val="7"/>
                <c:pt idx="0">
                  <c:v>47000</c:v>
                </c:pt>
                <c:pt idx="1">
                  <c:v>203000</c:v>
                </c:pt>
                <c:pt idx="2">
                  <c:v>12000</c:v>
                </c:pt>
                <c:pt idx="3">
                  <c:v>237500</c:v>
                </c:pt>
                <c:pt idx="4">
                  <c:v>455000</c:v>
                </c:pt>
                <c:pt idx="5">
                  <c:v>95000</c:v>
                </c:pt>
                <c:pt idx="6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8-4313-9373-19BADD97F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7649359"/>
        <c:axId val="747666159"/>
      </c:barChart>
      <c:catAx>
        <c:axId val="747649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666159"/>
        <c:crosses val="autoZero"/>
        <c:auto val="1"/>
        <c:lblAlgn val="ctr"/>
        <c:lblOffset val="100"/>
        <c:noMultiLvlLbl val="0"/>
      </c:catAx>
      <c:valAx>
        <c:axId val="74766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6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[End-to-End Retail Sales Data Analysis in Excel.xlsx]PIVOT TABLE!PivotTable4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TABLE'!$K$18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TABLE'!$J$19:$J$22</c:f>
              <c:strCache>
                <c:ptCount val="3"/>
                <c:pt idx="0">
                  <c:v>Corporate</c:v>
                </c:pt>
                <c:pt idx="1">
                  <c:v>Retail</c:v>
                </c:pt>
                <c:pt idx="2">
                  <c:v>UNKNOWN</c:v>
                </c:pt>
              </c:strCache>
            </c:strRef>
          </c:cat>
          <c:val>
            <c:numRef>
              <c:f>'PIVOT TABLE'!$K$19:$K$22</c:f>
              <c:numCache>
                <c:formatCode>0.00%</c:formatCode>
                <c:ptCount val="3"/>
                <c:pt idx="0">
                  <c:v>0.14604077761972498</c:v>
                </c:pt>
                <c:pt idx="1">
                  <c:v>0.84921763869132294</c:v>
                </c:pt>
                <c:pt idx="2">
                  <c:v>4.7415836889521104E-3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F-4722-AE47-565E0BBD752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6</xdr:row>
      <xdr:rowOff>15240</xdr:rowOff>
    </xdr:from>
    <xdr:to>
      <xdr:col>8</xdr:col>
      <xdr:colOff>731520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F84BFA-1101-0007-7207-19BE8F679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99060</xdr:colOff>
      <xdr:row>5</xdr:row>
      <xdr:rowOff>129540</xdr:rowOff>
    </xdr:from>
    <xdr:to>
      <xdr:col>14</xdr:col>
      <xdr:colOff>152400</xdr:colOff>
      <xdr:row>16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C91F56-EE41-0A77-F983-C61E2315A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15240</xdr:colOff>
      <xdr:row>16</xdr:row>
      <xdr:rowOff>163830</xdr:rowOff>
    </xdr:from>
    <xdr:to>
      <xdr:col>8</xdr:col>
      <xdr:colOff>670560</xdr:colOff>
      <xdr:row>27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42811A-90D5-D954-07B6-421CB380B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15240</xdr:colOff>
      <xdr:row>16</xdr:row>
      <xdr:rowOff>133350</xdr:rowOff>
    </xdr:from>
    <xdr:to>
      <xdr:col>14</xdr:col>
      <xdr:colOff>396240</xdr:colOff>
      <xdr:row>28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55592E-178F-3C9E-FB05-CD2EB98FA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20.491147685185" createdVersion="8" refreshedVersion="8" minRefreshableVersion="3" recordCount="10" xr:uid="{566FAF74-E290-48D8-B0CF-0B3F79C2A370}">
  <cacheSource type="worksheet">
    <worksheetSource name="Table1"/>
  </cacheSource>
  <cacheFields count="11">
    <cacheField name=" Order_ID " numFmtId="0">
      <sharedItems containsSemiMixedTypes="0" containsString="0" containsNumber="1" containsInteger="1" minValue="1001" maxValue="1010" count="10">
        <n v="1004"/>
        <n v="1010"/>
        <n v="1008"/>
        <n v="1001"/>
        <n v="1007"/>
        <n v="1009"/>
        <n v="1006"/>
        <n v="1003"/>
        <n v="1002"/>
        <n v="1005"/>
      </sharedItems>
    </cacheField>
    <cacheField name=" Date " numFmtId="14">
      <sharedItems containsSemiMixedTypes="0" containsNonDate="0" containsDate="1" containsString="0" minDate="2024-01-01T00:00:00" maxDate="2025-12-30T00:00:00" count="9">
        <d v="2024-04-01T00:00:00"/>
        <d v="2024-10-01T00:00:00"/>
        <d v="2024-08-01T00:00:00"/>
        <d v="2024-01-01T00:00:00"/>
        <d v="2025-12-29T00:00:00"/>
        <d v="2024-09-01T00:00:00"/>
        <d v="2024-06-01T00:00:00"/>
        <d v="2024-02-01T00:00:00"/>
        <d v="2024-05-01T00:00:00"/>
      </sharedItems>
    </cacheField>
    <cacheField name=" Customer_Name " numFmtId="0">
      <sharedItems count="8">
        <s v="Rahul"/>
        <s v="Sneha"/>
        <s v="Amit"/>
        <s v="Neha"/>
        <s v="Arjun"/>
        <s v="UNKNOWN"/>
        <s v="Priya"/>
        <s v="Karthik"/>
      </sharedItems>
    </cacheField>
    <cacheField name=" City " numFmtId="0">
      <sharedItems count="7">
        <s v="Chennai"/>
        <s v="Bangalore"/>
        <s v="Mumbai"/>
        <s v="Delhi"/>
        <s v="Hyderabad"/>
        <s v="UNKNOWN"/>
        <s v="Pune"/>
      </sharedItems>
    </cacheField>
    <cacheField name=" Segment " numFmtId="0">
      <sharedItems count="3">
        <s v="Retail"/>
        <s v="Corporate"/>
        <s v="UNKNOWN"/>
      </sharedItems>
    </cacheField>
    <cacheField name=" Product " numFmtId="0">
      <sharedItems count="5">
        <s v="Laptop"/>
        <s v="Smartphone"/>
        <s v="Office Chair"/>
        <s v="Desk"/>
        <s v="Headphones"/>
      </sharedItems>
    </cacheField>
    <cacheField name=" Category " numFmtId="0">
      <sharedItems count="3">
        <s v="Electronics"/>
        <s v="Furniture"/>
        <s v="Accessories"/>
      </sharedItems>
    </cacheField>
    <cacheField name=" Qty " numFmtId="0">
      <sharedItems containsSemiMixedTypes="0" containsString="0" containsNumber="1" containsInteger="1" minValue="1" maxValue="15" count="4">
        <n v="1"/>
        <n v="5"/>
        <n v="10"/>
        <n v="15"/>
      </sharedItems>
    </cacheField>
    <cacheField name=" Price " numFmtId="0">
      <sharedItems containsSemiMixedTypes="0" containsString="0" containsNumber="1" containsInteger="1" minValue="3000" maxValue="50000" count="5">
        <n v="50000"/>
        <n v="20000"/>
        <n v="5000"/>
        <n v="12000"/>
        <n v="3000"/>
      </sharedItems>
    </cacheField>
    <cacheField name=" Discount " numFmtId="0">
      <sharedItems containsSemiMixedTypes="0" containsString="0" containsNumber="1" containsInteger="1" minValue="0" maxValue="15" count="4">
        <n v="0"/>
        <n v="5"/>
        <n v="10"/>
        <n v="15"/>
      </sharedItems>
    </cacheField>
    <cacheField name=" Sales " numFmtId="0">
      <sharedItems containsSemiMixedTypes="0" containsString="0" containsNumber="1" containsInteger="1" minValue="5000" maxValue="450000" count="9">
        <n v="50000"/>
        <n v="20000"/>
        <n v="5000"/>
        <n v="12000"/>
        <n v="237500"/>
        <n v="27000"/>
        <n v="95000"/>
        <n v="450000"/>
        <n v="153000"/>
      </sharedItems>
    </cacheField>
  </cacheFields>
  <extLst>
    <ext xmlns:x14="http://schemas.microsoft.com/office/spreadsheetml/2009/9/main" uri="{725AE2AE-9491-48be-B2B4-4EB974FC3084}">
      <x14:pivotCacheDefinition pivotCacheId="6022743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0"/>
    <x v="1"/>
    <x v="0"/>
    <x v="1"/>
  </r>
  <r>
    <x v="2"/>
    <x v="2"/>
    <x v="2"/>
    <x v="2"/>
    <x v="0"/>
    <x v="2"/>
    <x v="1"/>
    <x v="0"/>
    <x v="2"/>
    <x v="0"/>
    <x v="2"/>
  </r>
  <r>
    <x v="3"/>
    <x v="3"/>
    <x v="3"/>
    <x v="3"/>
    <x v="1"/>
    <x v="3"/>
    <x v="1"/>
    <x v="0"/>
    <x v="3"/>
    <x v="0"/>
    <x v="3"/>
  </r>
  <r>
    <x v="4"/>
    <x v="4"/>
    <x v="4"/>
    <x v="4"/>
    <x v="0"/>
    <x v="0"/>
    <x v="0"/>
    <x v="1"/>
    <x v="0"/>
    <x v="1"/>
    <x v="4"/>
  </r>
  <r>
    <x v="5"/>
    <x v="5"/>
    <x v="1"/>
    <x v="1"/>
    <x v="1"/>
    <x v="4"/>
    <x v="2"/>
    <x v="2"/>
    <x v="4"/>
    <x v="2"/>
    <x v="5"/>
  </r>
  <r>
    <x v="6"/>
    <x v="6"/>
    <x v="5"/>
    <x v="5"/>
    <x v="2"/>
    <x v="2"/>
    <x v="1"/>
    <x v="0"/>
    <x v="2"/>
    <x v="0"/>
    <x v="2"/>
  </r>
  <r>
    <x v="7"/>
    <x v="4"/>
    <x v="6"/>
    <x v="6"/>
    <x v="1"/>
    <x v="1"/>
    <x v="0"/>
    <x v="1"/>
    <x v="1"/>
    <x v="1"/>
    <x v="6"/>
  </r>
  <r>
    <x v="8"/>
    <x v="7"/>
    <x v="2"/>
    <x v="2"/>
    <x v="0"/>
    <x v="0"/>
    <x v="0"/>
    <x v="2"/>
    <x v="0"/>
    <x v="2"/>
    <x v="7"/>
  </r>
  <r>
    <x v="9"/>
    <x v="8"/>
    <x v="7"/>
    <x v="0"/>
    <x v="0"/>
    <x v="3"/>
    <x v="1"/>
    <x v="3"/>
    <x v="3"/>
    <x v="3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3C653-D57E-4330-8507-377759BA0CF6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EGMENT">
  <location ref="J18:K22" firstHeaderRow="1" firstDataRow="1" firstDataCol="1"/>
  <pivotFields count="11">
    <pivotField showAll="0"/>
    <pivotField numFmtId="14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 Sales " fld="10" showDataAs="percentOfTotal" baseField="4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A7F97-5AD0-4B53-A8B6-97C2408013E6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ITY">
  <location ref="A18:B26" firstHeaderRow="1" firstDataRow="1" firstDataCol="1"/>
  <pivotFields count="11">
    <pivotField showAll="0"/>
    <pivotField numFmtId="14" showAll="0"/>
    <pivotField showAll="0"/>
    <pivotField axis="axisRow" showAll="0">
      <items count="8">
        <item x="1"/>
        <item x="0"/>
        <item x="3"/>
        <item x="4"/>
        <item x="2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0">
        <item x="2"/>
        <item x="3"/>
        <item x="1"/>
        <item x="5"/>
        <item x="0"/>
        <item x="6"/>
        <item x="8"/>
        <item x="4"/>
        <item x="7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 Sales " fld="10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1A578-F81E-43B3-830C-DB424552E710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K1:L5" firstHeaderRow="1" firstDataRow="1" firstDataCol="1"/>
  <pivotFields count="11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 Sales " fld="1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E05AC-CEF0-4938-8171-847690EBD7B1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" colHeaderCaption="CITY">
  <location ref="A1:I6" firstHeaderRow="1" firstDataRow="2" firstDataCol="1"/>
  <pivotFields count="11">
    <pivotField showAll="0"/>
    <pivotField numFmtId="14" showAll="0"/>
    <pivotField showAll="0"/>
    <pivotField axis="axisCol" showAll="0">
      <items count="8">
        <item x="1"/>
        <item x="0"/>
        <item x="3"/>
        <item x="4"/>
        <item x="2"/>
        <item x="6"/>
        <item x="5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 Sales " fld="10" baseField="0" baseItem="0"/>
  </dataFields>
  <chartFormats count="7"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1BC060-7E0B-4850-9F8F-1FDA0FC33EC0}" name="Table1" displayName="Table1" ref="A1:K11" totalsRowShown="0">
  <autoFilter ref="A1:K11" xr:uid="{5267ACF3-DA66-478E-BA55-883ADC3D4586}"/>
  <tableColumns count="11">
    <tableColumn id="1" xr3:uid="{E9C15BAF-A574-43E6-8BAA-785F77D35C63}" name=" Order_ID " dataDxfId="2"/>
    <tableColumn id="2" xr3:uid="{D1527141-BEFF-4319-9F26-44CE5338F530}" name=" Date " dataDxfId="1"/>
    <tableColumn id="3" xr3:uid="{A248004B-3AD1-4537-B23B-71A64AD3578C}" name=" Customer_Name ">
      <calculatedColumnFormula>_xlfn.XLOOKUP(ORDERS!C:C,CUSTOMERS!A:A,CUSTOMERS!B:B,"UNKNOWN")</calculatedColumnFormula>
    </tableColumn>
    <tableColumn id="4" xr3:uid="{38A01757-3183-4304-B94E-62C0305C80FE}" name=" City ">
      <calculatedColumnFormula>TRIM(_xlfn.XLOOKUP(ORDERS!C:C,CUSTOMERS!A:A,CUSTOMERS!C:C,"UNKNOWN"))</calculatedColumnFormula>
    </tableColumn>
    <tableColumn id="5" xr3:uid="{0B292EB9-B599-4C48-B86D-BA2DEC4073D1}" name=" Segment ">
      <calculatedColumnFormula>_xlfn.XLOOKUP(ORDERS!C:C,CUSTOMERS!A:A,CUSTOMERS!D:D,"UNKNOWN")</calculatedColumnFormula>
    </tableColumn>
    <tableColumn id="6" xr3:uid="{77FC8AF4-D237-47AE-8644-9A26C341B5AF}" name=" Product ">
      <calculatedColumnFormula>_xlfn.XLOOKUP(ORDERS!D:D,PRODUCTS!A:A,PRODUCTS!B:B,)</calculatedColumnFormula>
    </tableColumn>
    <tableColumn id="7" xr3:uid="{20A99383-C3DB-4E6D-B165-7028C4F37D25}" name=" Category ">
      <calculatedColumnFormula>_xlfn.XLOOKUP(ORDERS!D:D,PRODUCTS!A:A,PRODUCTS!C:C,"UNKNOWN")</calculatedColumnFormula>
    </tableColumn>
    <tableColumn id="8" xr3:uid="{A7B92539-ACE8-4204-B774-50598E7725BF}" name=" Qty "/>
    <tableColumn id="9" xr3:uid="{EBFACAEB-6499-40A8-B7D4-C16EF9AB9BB9}" name=" Price " dataDxfId="0">
      <calculatedColumnFormula>IFERROR(_xlfn.XLOOKUP(ORDERS!D:D,PRODUCTS!A:A,PRODUCTS!D:D,"UNKNOWN"),"UNKNOWN")</calculatedColumnFormula>
    </tableColumn>
    <tableColumn id="10" xr3:uid="{CC3D8053-F77A-4469-8AD8-730F19223FC6}" name=" Discount ">
      <calculatedColumnFormula>_xlfn.XLOOKUP(A:A,ORDERS!A:A,ORDERS!F:F,"UNKNOWN")</calculatedColumnFormula>
    </tableColumn>
    <tableColumn id="11" xr3:uid="{D6627D64-447D-4087-BDB6-6DBA6BF13775}" name=" Sales ">
      <calculatedColumnFormula>SUM(H2*I2*(1-J2/100))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033B-16A1-4BEA-BB74-EAC78EF28314}">
  <dimension ref="A1:G11"/>
  <sheetViews>
    <sheetView workbookViewId="0">
      <selection activeCell="B21" sqref="B21"/>
    </sheetView>
  </sheetViews>
  <sheetFormatPr defaultRowHeight="14.4" x14ac:dyDescent="0.3"/>
  <cols>
    <col min="1" max="1" width="18.77734375" customWidth="1"/>
    <col min="2" max="2" width="19.5546875" style="3" customWidth="1"/>
    <col min="3" max="3" width="19.88671875" customWidth="1"/>
    <col min="4" max="4" width="18.88671875" customWidth="1"/>
    <col min="5" max="5" width="21.21875" customWidth="1"/>
    <col min="6" max="6" width="16.77734375" bestFit="1" customWidth="1"/>
    <col min="7" max="7" width="21.5546875" customWidth="1"/>
  </cols>
  <sheetData>
    <row r="1" spans="1:7" x14ac:dyDescent="0.3">
      <c r="A1" s="4" t="s">
        <v>0</v>
      </c>
      <c r="B1" s="8" t="s">
        <v>57</v>
      </c>
      <c r="C1" s="7" t="s">
        <v>58</v>
      </c>
      <c r="D1" s="4" t="s">
        <v>2</v>
      </c>
      <c r="E1" s="7" t="s">
        <v>55</v>
      </c>
      <c r="F1" s="4" t="s">
        <v>56</v>
      </c>
      <c r="G1" s="4"/>
    </row>
    <row r="2" spans="1:7" x14ac:dyDescent="0.3">
      <c r="A2" s="5">
        <v>1001</v>
      </c>
      <c r="B2" s="3">
        <v>45292</v>
      </c>
      <c r="C2" t="s">
        <v>3</v>
      </c>
      <c r="D2" s="5" t="s">
        <v>4</v>
      </c>
      <c r="E2">
        <v>1</v>
      </c>
      <c r="F2">
        <v>0</v>
      </c>
      <c r="G2" s="3"/>
    </row>
    <row r="3" spans="1:7" x14ac:dyDescent="0.3">
      <c r="A3" s="5">
        <v>1002</v>
      </c>
      <c r="B3" s="3">
        <v>45323</v>
      </c>
      <c r="C3" t="s">
        <v>5</v>
      </c>
      <c r="D3" s="5" t="s">
        <v>6</v>
      </c>
      <c r="E3">
        <v>10</v>
      </c>
      <c r="F3">
        <v>10</v>
      </c>
      <c r="G3" s="3"/>
    </row>
    <row r="4" spans="1:7" x14ac:dyDescent="0.3">
      <c r="A4" s="5">
        <v>1003</v>
      </c>
      <c r="B4" s="3">
        <v>46020</v>
      </c>
      <c r="C4" t="s">
        <v>7</v>
      </c>
      <c r="D4" s="5" t="s">
        <v>8</v>
      </c>
      <c r="E4">
        <v>5</v>
      </c>
      <c r="F4">
        <v>5</v>
      </c>
      <c r="G4" s="3"/>
    </row>
    <row r="5" spans="1:7" x14ac:dyDescent="0.3">
      <c r="A5" s="5">
        <v>1004</v>
      </c>
      <c r="B5" s="3">
        <v>45383</v>
      </c>
      <c r="C5" t="s">
        <v>9</v>
      </c>
      <c r="D5" s="5" t="s">
        <v>10</v>
      </c>
      <c r="E5">
        <v>1</v>
      </c>
      <c r="F5">
        <v>0</v>
      </c>
      <c r="G5" s="3"/>
    </row>
    <row r="6" spans="1:7" x14ac:dyDescent="0.3">
      <c r="A6" s="5">
        <v>1005</v>
      </c>
      <c r="B6" s="3">
        <v>45413</v>
      </c>
      <c r="C6" t="s">
        <v>11</v>
      </c>
      <c r="D6" s="5" t="s">
        <v>4</v>
      </c>
      <c r="E6">
        <v>15</v>
      </c>
      <c r="F6">
        <v>15</v>
      </c>
      <c r="G6" s="3"/>
    </row>
    <row r="7" spans="1:7" x14ac:dyDescent="0.3">
      <c r="A7" s="5">
        <v>1006</v>
      </c>
      <c r="B7" s="3">
        <v>45444</v>
      </c>
      <c r="C7" t="s">
        <v>5</v>
      </c>
      <c r="D7" s="5" t="s">
        <v>12</v>
      </c>
      <c r="E7">
        <v>1</v>
      </c>
      <c r="F7">
        <v>0</v>
      </c>
      <c r="G7" s="3"/>
    </row>
    <row r="8" spans="1:7" x14ac:dyDescent="0.3">
      <c r="A8" s="5">
        <v>1007</v>
      </c>
      <c r="B8" s="3">
        <v>46020</v>
      </c>
      <c r="C8" t="s">
        <v>59</v>
      </c>
      <c r="D8" s="5" t="s">
        <v>8</v>
      </c>
      <c r="E8">
        <v>5</v>
      </c>
      <c r="F8">
        <v>5</v>
      </c>
      <c r="G8" s="3"/>
    </row>
    <row r="9" spans="1:7" x14ac:dyDescent="0.3">
      <c r="A9" s="5">
        <v>1008</v>
      </c>
      <c r="B9" s="3">
        <v>45505</v>
      </c>
      <c r="C9" t="s">
        <v>13</v>
      </c>
      <c r="D9" s="5" t="s">
        <v>6</v>
      </c>
      <c r="E9">
        <v>1</v>
      </c>
      <c r="F9">
        <v>0</v>
      </c>
      <c r="G9" s="3"/>
    </row>
    <row r="10" spans="1:7" x14ac:dyDescent="0.3">
      <c r="A10" s="5">
        <v>1009</v>
      </c>
      <c r="B10" s="3">
        <v>45536</v>
      </c>
      <c r="C10" t="s">
        <v>7</v>
      </c>
      <c r="D10" s="5" t="s">
        <v>4</v>
      </c>
      <c r="E10">
        <v>10</v>
      </c>
      <c r="F10">
        <v>10</v>
      </c>
      <c r="G10" s="3"/>
    </row>
    <row r="11" spans="1:7" x14ac:dyDescent="0.3">
      <c r="A11" s="5">
        <v>1010</v>
      </c>
      <c r="B11" s="3">
        <v>45566</v>
      </c>
      <c r="C11" t="s">
        <v>14</v>
      </c>
      <c r="D11" s="5" t="s">
        <v>10</v>
      </c>
      <c r="E11">
        <v>1</v>
      </c>
      <c r="F11">
        <v>0</v>
      </c>
      <c r="G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A023-391E-4918-A776-0F165A92B9E4}">
  <dimension ref="A1:E11"/>
  <sheetViews>
    <sheetView workbookViewId="0">
      <selection activeCell="G16" sqref="G16"/>
    </sheetView>
  </sheetViews>
  <sheetFormatPr defaultRowHeight="14.4" x14ac:dyDescent="0.3"/>
  <cols>
    <col min="1" max="1" width="17.44140625" customWidth="1"/>
    <col min="2" max="2" width="17.77734375" customWidth="1"/>
    <col min="3" max="3" width="13" customWidth="1"/>
    <col min="4" max="4" width="14.6640625" customWidth="1"/>
  </cols>
  <sheetData>
    <row r="1" spans="1:5" x14ac:dyDescent="0.3">
      <c r="A1" s="1" t="s">
        <v>1</v>
      </c>
      <c r="B1" s="1" t="s">
        <v>15</v>
      </c>
      <c r="C1" s="1" t="s">
        <v>16</v>
      </c>
      <c r="D1" s="1" t="s">
        <v>17</v>
      </c>
      <c r="E1" s="6"/>
    </row>
    <row r="2" spans="1:5" x14ac:dyDescent="0.3">
      <c r="A2" s="2" t="s">
        <v>3</v>
      </c>
      <c r="B2" s="2" t="s">
        <v>18</v>
      </c>
      <c r="C2" s="2" t="s">
        <v>19</v>
      </c>
      <c r="D2" s="2" t="s">
        <v>20</v>
      </c>
      <c r="E2" s="6"/>
    </row>
    <row r="3" spans="1:5" x14ac:dyDescent="0.3">
      <c r="A3" s="2" t="s">
        <v>5</v>
      </c>
      <c r="B3" s="2" t="s">
        <v>21</v>
      </c>
      <c r="C3" s="2" t="s">
        <v>22</v>
      </c>
      <c r="D3" s="2" t="s">
        <v>23</v>
      </c>
      <c r="E3" s="6"/>
    </row>
    <row r="4" spans="1:5" x14ac:dyDescent="0.3">
      <c r="A4" s="2" t="s">
        <v>7</v>
      </c>
      <c r="B4" s="2" t="s">
        <v>24</v>
      </c>
      <c r="C4" s="2" t="s">
        <v>25</v>
      </c>
      <c r="D4" s="2" t="s">
        <v>20</v>
      </c>
      <c r="E4" s="6"/>
    </row>
    <row r="5" spans="1:5" x14ac:dyDescent="0.3">
      <c r="A5" s="2" t="s">
        <v>9</v>
      </c>
      <c r="B5" s="2" t="s">
        <v>26</v>
      </c>
      <c r="C5" s="2" t="s">
        <v>27</v>
      </c>
      <c r="D5" s="2" t="s">
        <v>23</v>
      </c>
      <c r="E5" s="6"/>
    </row>
    <row r="6" spans="1:5" x14ac:dyDescent="0.3">
      <c r="A6" s="2" t="s">
        <v>11</v>
      </c>
      <c r="B6" s="2" t="s">
        <v>28</v>
      </c>
      <c r="C6" s="2" t="s">
        <v>29</v>
      </c>
      <c r="D6" s="2" t="s">
        <v>20</v>
      </c>
      <c r="E6" s="6"/>
    </row>
    <row r="7" spans="1:5" x14ac:dyDescent="0.3">
      <c r="A7" s="2" t="s">
        <v>13</v>
      </c>
      <c r="B7" s="2" t="s">
        <v>30</v>
      </c>
      <c r="C7" s="2" t="s">
        <v>31</v>
      </c>
      <c r="D7" s="2" t="s">
        <v>23</v>
      </c>
      <c r="E7" s="6"/>
    </row>
    <row r="8" spans="1:5" x14ac:dyDescent="0.3">
      <c r="A8" s="2" t="s">
        <v>14</v>
      </c>
      <c r="B8" s="2" t="s">
        <v>32</v>
      </c>
      <c r="C8" s="2" t="s">
        <v>19</v>
      </c>
      <c r="D8" s="2" t="s">
        <v>20</v>
      </c>
      <c r="E8" s="6"/>
    </row>
    <row r="9" spans="1:5" x14ac:dyDescent="0.3">
      <c r="A9" s="2"/>
      <c r="B9" s="2"/>
      <c r="C9" s="2"/>
      <c r="D9" s="2"/>
      <c r="E9" s="6"/>
    </row>
    <row r="10" spans="1:5" x14ac:dyDescent="0.3">
      <c r="A10" s="2"/>
      <c r="B10" s="2"/>
      <c r="C10" s="2"/>
      <c r="D10" s="2"/>
      <c r="E10" s="6"/>
    </row>
    <row r="11" spans="1:5" x14ac:dyDescent="0.3">
      <c r="A11" s="2"/>
      <c r="B11" s="2"/>
      <c r="C11" s="2"/>
      <c r="D11" s="2"/>
      <c r="E1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8828-DAF4-42F3-9C2E-8F5A6DCE9186}">
  <dimension ref="A1:D9"/>
  <sheetViews>
    <sheetView workbookViewId="0">
      <selection activeCell="D2" sqref="D2:D6"/>
    </sheetView>
  </sheetViews>
  <sheetFormatPr defaultRowHeight="14.4" x14ac:dyDescent="0.3"/>
  <cols>
    <col min="1" max="1" width="12" customWidth="1"/>
    <col min="2" max="2" width="18.44140625" customWidth="1"/>
    <col min="3" max="3" width="15.21875" customWidth="1"/>
    <col min="4" max="4" width="6.5546875" customWidth="1"/>
  </cols>
  <sheetData>
    <row r="1" spans="1:4" x14ac:dyDescent="0.3">
      <c r="A1" s="1" t="s">
        <v>2</v>
      </c>
      <c r="B1" s="1" t="s">
        <v>33</v>
      </c>
      <c r="C1" s="1" t="s">
        <v>34</v>
      </c>
      <c r="D1" s="1" t="s">
        <v>35</v>
      </c>
    </row>
    <row r="2" spans="1:4" x14ac:dyDescent="0.3">
      <c r="A2" s="2" t="s">
        <v>4</v>
      </c>
      <c r="B2" s="2" t="s">
        <v>36</v>
      </c>
      <c r="C2" s="2" t="s">
        <v>37</v>
      </c>
      <c r="D2" s="2">
        <v>50000</v>
      </c>
    </row>
    <row r="3" spans="1:4" x14ac:dyDescent="0.3">
      <c r="A3" s="2" t="s">
        <v>6</v>
      </c>
      <c r="B3" s="2" t="s">
        <v>38</v>
      </c>
      <c r="C3" s="2" t="s">
        <v>37</v>
      </c>
      <c r="D3" s="2">
        <v>20000</v>
      </c>
    </row>
    <row r="4" spans="1:4" x14ac:dyDescent="0.3">
      <c r="A4" s="2" t="s">
        <v>8</v>
      </c>
      <c r="B4" s="2" t="s">
        <v>39</v>
      </c>
      <c r="C4" s="2" t="s">
        <v>40</v>
      </c>
      <c r="D4" s="2">
        <v>5000</v>
      </c>
    </row>
    <row r="5" spans="1:4" x14ac:dyDescent="0.3">
      <c r="A5" s="2" t="s">
        <v>10</v>
      </c>
      <c r="B5" s="2" t="s">
        <v>41</v>
      </c>
      <c r="C5" s="2" t="s">
        <v>40</v>
      </c>
      <c r="D5" s="2">
        <v>12000</v>
      </c>
    </row>
    <row r="6" spans="1:4" x14ac:dyDescent="0.3">
      <c r="A6" s="2" t="s">
        <v>12</v>
      </c>
      <c r="B6" s="2" t="s">
        <v>42</v>
      </c>
      <c r="C6" s="2" t="s">
        <v>43</v>
      </c>
      <c r="D6" s="2">
        <v>3000</v>
      </c>
    </row>
    <row r="7" spans="1:4" x14ac:dyDescent="0.3">
      <c r="A7" s="5"/>
      <c r="B7" s="5"/>
      <c r="C7" s="5"/>
      <c r="D7" s="5"/>
    </row>
    <row r="8" spans="1:4" x14ac:dyDescent="0.3">
      <c r="A8" s="5"/>
      <c r="B8" s="5"/>
      <c r="C8" s="5"/>
      <c r="D8" s="5"/>
    </row>
    <row r="9" spans="1:4" x14ac:dyDescent="0.3">
      <c r="A9" s="5"/>
      <c r="B9" s="5"/>
      <c r="C9" s="5"/>
      <c r="D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ACF3-DA66-478E-BA55-883ADC3D4586}">
  <dimension ref="A1:L21"/>
  <sheetViews>
    <sheetView workbookViewId="0">
      <selection activeCell="F29" sqref="F29"/>
    </sheetView>
  </sheetViews>
  <sheetFormatPr defaultRowHeight="14.4" x14ac:dyDescent="0.3"/>
  <cols>
    <col min="1" max="1" width="14.21875" customWidth="1"/>
    <col min="2" max="2" width="13.109375" customWidth="1"/>
    <col min="3" max="3" width="17.88671875" customWidth="1"/>
    <col min="4" max="4" width="16.21875" customWidth="1"/>
    <col min="5" max="5" width="12.88671875" customWidth="1"/>
    <col min="6" max="6" width="13.21875" customWidth="1"/>
    <col min="7" max="7" width="11.33203125" customWidth="1"/>
    <col min="8" max="8" width="12.44140625" customWidth="1"/>
    <col min="9" max="9" width="14.33203125" customWidth="1"/>
    <col min="10" max="10" width="17.44140625" customWidth="1"/>
    <col min="11" max="11" width="17.109375" customWidth="1"/>
    <col min="12" max="12" width="25.109375" customWidth="1"/>
  </cols>
  <sheetData>
    <row r="1" spans="1:11" x14ac:dyDescent="0.3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</row>
    <row r="2" spans="1:11" x14ac:dyDescent="0.3">
      <c r="A2" s="5">
        <v>1004</v>
      </c>
      <c r="B2" s="3">
        <v>45383</v>
      </c>
      <c r="C2" t="str">
        <f>_xlfn.XLOOKUP(ORDERS!C:C,CUSTOMERS!A:A,CUSTOMERS!B:B,"UNKNOWN")</f>
        <v>Rahul</v>
      </c>
      <c r="D2" t="str">
        <f>TRIM(_xlfn.XLOOKUP(ORDERS!C:C,CUSTOMERS!A:A,CUSTOMERS!C:C,"UNKNOWN"))</f>
        <v>Chennai</v>
      </c>
      <c r="E2" t="str">
        <f>_xlfn.XLOOKUP(ORDERS!C:C,CUSTOMERS!A:A,CUSTOMERS!D:D,"UNKNOWN")</f>
        <v>Retail</v>
      </c>
      <c r="F2" t="str">
        <f>_xlfn.XLOOKUP(ORDERS!D:D,PRODUCTS!A:A,PRODUCTS!B:B,)</f>
        <v>Laptop</v>
      </c>
      <c r="G2" t="str">
        <f>_xlfn.XLOOKUP(ORDERS!D:D,PRODUCTS!A:A,PRODUCTS!C:C,"UNKNOWN")</f>
        <v>Electronics</v>
      </c>
      <c r="H2">
        <v>1</v>
      </c>
      <c r="I2" s="2">
        <f>IFERROR(_xlfn.XLOOKUP(ORDERS!D:D,PRODUCTS!A:A,PRODUCTS!D:D,"UNKNOWN"),"UNKNOWN")</f>
        <v>50000</v>
      </c>
      <c r="J2">
        <f>_xlfn.XLOOKUP(A:A,ORDERS!A:A,ORDERS!F:F,"UNKNOWN")</f>
        <v>0</v>
      </c>
      <c r="K2">
        <f>SUM(H2*I2*(1-J2/100))</f>
        <v>50000</v>
      </c>
    </row>
    <row r="3" spans="1:11" x14ac:dyDescent="0.3">
      <c r="A3" s="5">
        <v>1010</v>
      </c>
      <c r="B3" s="3">
        <v>45566</v>
      </c>
      <c r="C3" t="str">
        <f>_xlfn.XLOOKUP(ORDERS!C:C,CUSTOMERS!A:A,CUSTOMERS!B:B,"UNKNOWN")</f>
        <v>Sneha</v>
      </c>
      <c r="D3" t="str">
        <f>TRIM(_xlfn.XLOOKUP(ORDERS!C:C,CUSTOMERS!A:A,CUSTOMERS!C:C,"UNKNOWN"))</f>
        <v>Bangalore</v>
      </c>
      <c r="E3" t="str">
        <f>_xlfn.XLOOKUP(ORDERS!C:C,CUSTOMERS!A:A,CUSTOMERS!D:D,"UNKNOWN")</f>
        <v>Corporate</v>
      </c>
      <c r="F3" t="str">
        <f>_xlfn.XLOOKUP(ORDERS!D:D,PRODUCTS!A:A,PRODUCTS!B:B,)</f>
        <v>Smartphone</v>
      </c>
      <c r="G3" t="str">
        <f>_xlfn.XLOOKUP(ORDERS!D:D,PRODUCTS!A:A,PRODUCTS!C:C,"UNKNOWN")</f>
        <v>Electronics</v>
      </c>
      <c r="H3">
        <v>1</v>
      </c>
      <c r="I3" s="2">
        <f>IFERROR(_xlfn.XLOOKUP(ORDERS!D:D,PRODUCTS!A:A,PRODUCTS!D:D,"UNKNOWN"),"UNKNOWN")</f>
        <v>20000</v>
      </c>
      <c r="J3">
        <f>_xlfn.XLOOKUP(A:A,ORDERS!A:A,ORDERS!F:F,"UNKNOWN")</f>
        <v>0</v>
      </c>
      <c r="K3">
        <f>SUM(H3*I3*(1-J3/100))</f>
        <v>20000</v>
      </c>
    </row>
    <row r="4" spans="1:11" x14ac:dyDescent="0.3">
      <c r="A4" s="5">
        <v>1008</v>
      </c>
      <c r="B4" s="3">
        <v>45505</v>
      </c>
      <c r="C4" t="str">
        <f>_xlfn.XLOOKUP(ORDERS!C:C,CUSTOMERS!A:A,CUSTOMERS!B:B,"UNKNOWN")</f>
        <v>Amit</v>
      </c>
      <c r="D4" t="str">
        <f>TRIM(_xlfn.XLOOKUP(ORDERS!C:C,CUSTOMERS!A:A,CUSTOMERS!C:C,"UNKNOWN"))</f>
        <v>Mumbai</v>
      </c>
      <c r="E4" t="str">
        <f>_xlfn.XLOOKUP(ORDERS!C:C,CUSTOMERS!A:A,CUSTOMERS!D:D,"UNKNOWN")</f>
        <v>Retail</v>
      </c>
      <c r="F4" t="str">
        <f>_xlfn.XLOOKUP(ORDERS!D:D,PRODUCTS!A:A,PRODUCTS!B:B,)</f>
        <v>Office Chair</v>
      </c>
      <c r="G4" t="str">
        <f>_xlfn.XLOOKUP(ORDERS!D:D,PRODUCTS!A:A,PRODUCTS!C:C,"UNKNOWN")</f>
        <v>Furniture</v>
      </c>
      <c r="H4">
        <v>1</v>
      </c>
      <c r="I4" s="2">
        <f>IFERROR(_xlfn.XLOOKUP(ORDERS!D:D,PRODUCTS!A:A,PRODUCTS!D:D,"UNKNOWN"),"UNKNOWN")</f>
        <v>5000</v>
      </c>
      <c r="J4">
        <f>_xlfn.XLOOKUP(A:A,ORDERS!A:A,ORDERS!F:F,"UNKNOWN")</f>
        <v>0</v>
      </c>
      <c r="K4">
        <f>SUM(H4*I4*(1-J4/100))</f>
        <v>5000</v>
      </c>
    </row>
    <row r="5" spans="1:11" x14ac:dyDescent="0.3">
      <c r="A5" s="5">
        <v>1001</v>
      </c>
      <c r="B5" s="3">
        <v>45292</v>
      </c>
      <c r="C5" t="str">
        <f>_xlfn.XLOOKUP(ORDERS!C:C,CUSTOMERS!A:A,CUSTOMERS!B:B,"UNKNOWN")</f>
        <v>Neha</v>
      </c>
      <c r="D5" t="str">
        <f>TRIM(_xlfn.XLOOKUP(ORDERS!C:C,CUSTOMERS!A:A,CUSTOMERS!C:C,"UNKNOWN"))</f>
        <v>Delhi</v>
      </c>
      <c r="E5" t="str">
        <f>_xlfn.XLOOKUP(ORDERS!C:C,CUSTOMERS!A:A,CUSTOMERS!D:D,"UNKNOWN")</f>
        <v>Corporate</v>
      </c>
      <c r="F5" t="str">
        <f>_xlfn.XLOOKUP(ORDERS!D:D,PRODUCTS!A:A,PRODUCTS!B:B,)</f>
        <v>Desk</v>
      </c>
      <c r="G5" t="str">
        <f>_xlfn.XLOOKUP(ORDERS!D:D,PRODUCTS!A:A,PRODUCTS!C:C,"UNKNOWN")</f>
        <v>Furniture</v>
      </c>
      <c r="H5">
        <v>1</v>
      </c>
      <c r="I5" s="2">
        <f>IFERROR(_xlfn.XLOOKUP(ORDERS!D:D,PRODUCTS!A:A,PRODUCTS!D:D,"UNKNOWN"),"UNKNOWN")</f>
        <v>12000</v>
      </c>
      <c r="J5">
        <f>_xlfn.XLOOKUP(A:A,ORDERS!A:A,ORDERS!F:F,"UNKNOWN")</f>
        <v>0</v>
      </c>
      <c r="K5">
        <f>SUM(H5*I5*(1-J5/100))</f>
        <v>12000</v>
      </c>
    </row>
    <row r="6" spans="1:11" x14ac:dyDescent="0.3">
      <c r="A6" s="5">
        <v>1007</v>
      </c>
      <c r="B6" s="3">
        <v>46020</v>
      </c>
      <c r="C6" t="str">
        <f>_xlfn.XLOOKUP(ORDERS!C:C,CUSTOMERS!A:A,CUSTOMERS!B:B,"UNKNOWN")</f>
        <v>Arjun</v>
      </c>
      <c r="D6" t="str">
        <f>TRIM(_xlfn.XLOOKUP(ORDERS!C:C,CUSTOMERS!A:A,CUSTOMERS!C:C,"UNKNOWN"))</f>
        <v>Hyderabad</v>
      </c>
      <c r="E6" t="str">
        <f>_xlfn.XLOOKUP(ORDERS!C:C,CUSTOMERS!A:A,CUSTOMERS!D:D,"UNKNOWN")</f>
        <v>Retail</v>
      </c>
      <c r="F6" t="str">
        <f>_xlfn.XLOOKUP(ORDERS!D:D,PRODUCTS!A:A,PRODUCTS!B:B,)</f>
        <v>Laptop</v>
      </c>
      <c r="G6" t="str">
        <f>_xlfn.XLOOKUP(ORDERS!D:D,PRODUCTS!A:A,PRODUCTS!C:C,"UNKNOWN")</f>
        <v>Electronics</v>
      </c>
      <c r="H6">
        <v>5</v>
      </c>
      <c r="I6" s="2">
        <f>IFERROR(_xlfn.XLOOKUP(ORDERS!D:D,PRODUCTS!A:A,PRODUCTS!D:D,"UNKNOWN"),"UNKNOWN")</f>
        <v>50000</v>
      </c>
      <c r="J6">
        <f>_xlfn.XLOOKUP(A:A,ORDERS!A:A,ORDERS!F:F,"UNKNOWN")</f>
        <v>5</v>
      </c>
      <c r="K6">
        <f>SUM(H6*I6*(1-J6/100))</f>
        <v>237500</v>
      </c>
    </row>
    <row r="7" spans="1:11" x14ac:dyDescent="0.3">
      <c r="A7" s="5">
        <v>1009</v>
      </c>
      <c r="B7" s="3">
        <v>45536</v>
      </c>
      <c r="C7" t="str">
        <f>_xlfn.XLOOKUP(ORDERS!C:C,CUSTOMERS!A:A,CUSTOMERS!B:B,"UNKNOWN")</f>
        <v>Sneha</v>
      </c>
      <c r="D7" t="str">
        <f>TRIM(_xlfn.XLOOKUP(ORDERS!C:C,CUSTOMERS!A:A,CUSTOMERS!C:C,"UNKNOWN"))</f>
        <v>Bangalore</v>
      </c>
      <c r="E7" t="str">
        <f>_xlfn.XLOOKUP(ORDERS!C:C,CUSTOMERS!A:A,CUSTOMERS!D:D,"UNKNOWN")</f>
        <v>Corporate</v>
      </c>
      <c r="F7" t="str">
        <f>_xlfn.XLOOKUP(ORDERS!D:D,PRODUCTS!A:A,PRODUCTS!B:B,)</f>
        <v>Headphones</v>
      </c>
      <c r="G7" t="str">
        <f>_xlfn.XLOOKUP(ORDERS!D:D,PRODUCTS!A:A,PRODUCTS!C:C,"UNKNOWN")</f>
        <v>Accessories</v>
      </c>
      <c r="H7">
        <v>10</v>
      </c>
      <c r="I7" s="2">
        <f>IFERROR(_xlfn.XLOOKUP(ORDERS!D:D,PRODUCTS!A:A,PRODUCTS!D:D,"UNKNOWN"),"UNKNOWN")</f>
        <v>3000</v>
      </c>
      <c r="J7">
        <f>_xlfn.XLOOKUP(A:A,ORDERS!A:A,ORDERS!F:F,"UNKNOWN")</f>
        <v>10</v>
      </c>
      <c r="K7">
        <f>SUM(H7*I7*(1-J7/100))</f>
        <v>27000</v>
      </c>
    </row>
    <row r="8" spans="1:11" x14ac:dyDescent="0.3">
      <c r="A8" s="5">
        <v>1006</v>
      </c>
      <c r="B8" s="3">
        <v>45444</v>
      </c>
      <c r="C8" t="str">
        <f>_xlfn.XLOOKUP(ORDERS!C:C,CUSTOMERS!A:A,CUSTOMERS!B:B,"UNKNOWN")</f>
        <v>UNKNOWN</v>
      </c>
      <c r="D8" t="str">
        <f>TRIM(_xlfn.XLOOKUP(ORDERS!C:C,CUSTOMERS!A:A,CUSTOMERS!C:C,"UNKNOWN"))</f>
        <v>UNKNOWN</v>
      </c>
      <c r="E8" t="str">
        <f>_xlfn.XLOOKUP(ORDERS!C:C,CUSTOMERS!A:A,CUSTOMERS!D:D,"UNKNOWN")</f>
        <v>UNKNOWN</v>
      </c>
      <c r="F8" t="str">
        <f>_xlfn.XLOOKUP(ORDERS!D:D,PRODUCTS!A:A,PRODUCTS!B:B,)</f>
        <v>Office Chair</v>
      </c>
      <c r="G8" t="str">
        <f>_xlfn.XLOOKUP(ORDERS!D:D,PRODUCTS!A:A,PRODUCTS!C:C,"UNKNOWN")</f>
        <v>Furniture</v>
      </c>
      <c r="H8">
        <v>1</v>
      </c>
      <c r="I8" s="2">
        <f>IFERROR(_xlfn.XLOOKUP(ORDERS!D:D,PRODUCTS!A:A,PRODUCTS!D:D,"UNKNOWN"),"UNKNOWN")</f>
        <v>5000</v>
      </c>
      <c r="J8">
        <f>_xlfn.XLOOKUP(A:A,ORDERS!A:A,ORDERS!F:F,"UNKNOWN")</f>
        <v>0</v>
      </c>
      <c r="K8">
        <f>SUM(H8*I8*(1-J8/100))</f>
        <v>5000</v>
      </c>
    </row>
    <row r="9" spans="1:11" x14ac:dyDescent="0.3">
      <c r="A9" s="5">
        <v>1003</v>
      </c>
      <c r="B9" s="3">
        <v>46020</v>
      </c>
      <c r="C9" t="str">
        <f>_xlfn.XLOOKUP(ORDERS!C:C,CUSTOMERS!A:A,CUSTOMERS!B:B,"UNKNOWN")</f>
        <v>Priya</v>
      </c>
      <c r="D9" t="str">
        <f>TRIM(_xlfn.XLOOKUP(ORDERS!C:C,CUSTOMERS!A:A,CUSTOMERS!C:C,"UNKNOWN"))</f>
        <v>Pune</v>
      </c>
      <c r="E9" t="str">
        <f>_xlfn.XLOOKUP(ORDERS!C:C,CUSTOMERS!A:A,CUSTOMERS!D:D,"UNKNOWN")</f>
        <v>Corporate</v>
      </c>
      <c r="F9" t="str">
        <f>_xlfn.XLOOKUP(ORDERS!D:D,PRODUCTS!A:A,PRODUCTS!B:B,)</f>
        <v>Smartphone</v>
      </c>
      <c r="G9" t="str">
        <f>_xlfn.XLOOKUP(ORDERS!D:D,PRODUCTS!A:A,PRODUCTS!C:C,"UNKNOWN")</f>
        <v>Electronics</v>
      </c>
      <c r="H9">
        <v>5</v>
      </c>
      <c r="I9" s="2">
        <f>IFERROR(_xlfn.XLOOKUP(ORDERS!D:D,PRODUCTS!A:A,PRODUCTS!D:D,"UNKNOWN"),"UNKNOWN")</f>
        <v>20000</v>
      </c>
      <c r="J9">
        <f>_xlfn.XLOOKUP(A:A,ORDERS!A:A,ORDERS!F:F,"UNKNOWN")</f>
        <v>5</v>
      </c>
      <c r="K9">
        <f>SUM(H9*I9*(1-J9/100))</f>
        <v>95000</v>
      </c>
    </row>
    <row r="10" spans="1:11" x14ac:dyDescent="0.3">
      <c r="A10" s="5">
        <v>1002</v>
      </c>
      <c r="B10" s="3">
        <v>45323</v>
      </c>
      <c r="C10" t="str">
        <f>_xlfn.XLOOKUP(ORDERS!C:C,CUSTOMERS!A:A,CUSTOMERS!B:B,"UNKNOWN")</f>
        <v>Amit</v>
      </c>
      <c r="D10" t="str">
        <f>TRIM(_xlfn.XLOOKUP(ORDERS!C:C,CUSTOMERS!A:A,CUSTOMERS!C:C,"UNKNOWN"))</f>
        <v>Mumbai</v>
      </c>
      <c r="E10" t="str">
        <f>_xlfn.XLOOKUP(ORDERS!C:C,CUSTOMERS!A:A,CUSTOMERS!D:D,"UNKNOWN")</f>
        <v>Retail</v>
      </c>
      <c r="F10" t="str">
        <f>_xlfn.XLOOKUP(ORDERS!D:D,PRODUCTS!A:A,PRODUCTS!B:B,)</f>
        <v>Laptop</v>
      </c>
      <c r="G10" t="str">
        <f>_xlfn.XLOOKUP(ORDERS!D:D,PRODUCTS!A:A,PRODUCTS!C:C,"UNKNOWN")</f>
        <v>Electronics</v>
      </c>
      <c r="H10">
        <v>10</v>
      </c>
      <c r="I10" s="2">
        <f>IFERROR(_xlfn.XLOOKUP(ORDERS!D:D,PRODUCTS!A:A,PRODUCTS!D:D,"UNKNOWN"),"UNKNOWN")</f>
        <v>50000</v>
      </c>
      <c r="J10">
        <f>_xlfn.XLOOKUP(A:A,ORDERS!A:A,ORDERS!F:F,"UNKNOWN")</f>
        <v>10</v>
      </c>
      <c r="K10">
        <f>SUM(H10*I10*(1-J10/100))</f>
        <v>450000</v>
      </c>
    </row>
    <row r="11" spans="1:11" x14ac:dyDescent="0.3">
      <c r="A11" s="5">
        <v>1005</v>
      </c>
      <c r="B11" s="3">
        <v>45413</v>
      </c>
      <c r="C11" t="str">
        <f>_xlfn.XLOOKUP(ORDERS!C:C,CUSTOMERS!A:A,CUSTOMERS!B:B,"UNKNOWN")</f>
        <v>Karthik</v>
      </c>
      <c r="D11" t="str">
        <f>TRIM(_xlfn.XLOOKUP(ORDERS!C:C,CUSTOMERS!A:A,CUSTOMERS!C:C,"UNKNOWN"))</f>
        <v>Chennai</v>
      </c>
      <c r="E11" t="str">
        <f>_xlfn.XLOOKUP(ORDERS!C:C,CUSTOMERS!A:A,CUSTOMERS!D:D,"UNKNOWN")</f>
        <v>Retail</v>
      </c>
      <c r="F11" t="str">
        <f>_xlfn.XLOOKUP(ORDERS!D:D,PRODUCTS!A:A,PRODUCTS!B:B,)</f>
        <v>Desk</v>
      </c>
      <c r="G11" t="str">
        <f>_xlfn.XLOOKUP(ORDERS!D:D,PRODUCTS!A:A,PRODUCTS!C:C,"UNKNOWN")</f>
        <v>Furniture</v>
      </c>
      <c r="H11">
        <v>15</v>
      </c>
      <c r="I11" s="2">
        <f>IFERROR(_xlfn.XLOOKUP(ORDERS!D:D,PRODUCTS!A:A,PRODUCTS!D:D,"UNKNOWN"),"UNKNOWN")</f>
        <v>12000</v>
      </c>
      <c r="J11">
        <f>_xlfn.XLOOKUP(A:A,ORDERS!A:A,ORDERS!F:F,"UNKNOWN")</f>
        <v>15</v>
      </c>
      <c r="K11">
        <f>SUM(H11*I11*(1-J11/100))</f>
        <v>153000</v>
      </c>
    </row>
    <row r="20" spans="2:12" x14ac:dyDescent="0.3">
      <c r="B20" t="s">
        <v>62</v>
      </c>
      <c r="D20" t="s">
        <v>63</v>
      </c>
      <c r="F20" t="s">
        <v>60</v>
      </c>
      <c r="H20" t="s">
        <v>64</v>
      </c>
      <c r="J20" t="s">
        <v>61</v>
      </c>
      <c r="L20" t="s">
        <v>65</v>
      </c>
    </row>
    <row r="21" spans="2:12" x14ac:dyDescent="0.3">
      <c r="B21">
        <f>SUMIFS(K:K,D:D,"Chennai")</f>
        <v>203000</v>
      </c>
      <c r="D21">
        <f>SUMIFS(K:K,E:E,"Corporate")</f>
        <v>154000</v>
      </c>
      <c r="F21">
        <f>SUM(K:K)</f>
        <v>1054500</v>
      </c>
      <c r="H21">
        <f>COUNT(A:A)</f>
        <v>10</v>
      </c>
      <c r="J21">
        <f>SUMIFS(K:K,G:G,"Electronics")</f>
        <v>852500</v>
      </c>
      <c r="L21">
        <f>COUNTIFS(G:G,"Electronics")</f>
        <v>5</v>
      </c>
    </row>
  </sheetData>
  <sortState xmlns:xlrd2="http://schemas.microsoft.com/office/spreadsheetml/2017/richdata2" ref="A2:K11">
    <sortCondition ref="K2:K11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4FF7-AE95-414B-9065-20D271266FFC}">
  <dimension ref="A1:L26"/>
  <sheetViews>
    <sheetView tabSelected="1" workbookViewId="0">
      <selection activeCell="P11" sqref="P11"/>
    </sheetView>
  </sheetViews>
  <sheetFormatPr defaultRowHeight="14.4" x14ac:dyDescent="0.3"/>
  <cols>
    <col min="1" max="1" width="12.5546875" bestFit="1" customWidth="1"/>
    <col min="2" max="2" width="19.5546875" customWidth="1"/>
    <col min="3" max="3" width="11" customWidth="1"/>
    <col min="4" max="4" width="8.88671875" customWidth="1"/>
    <col min="5" max="5" width="11.33203125" customWidth="1"/>
    <col min="6" max="6" width="9.5546875" customWidth="1"/>
    <col min="7" max="7" width="6" bestFit="1" customWidth="1"/>
    <col min="8" max="8" width="11.44140625" customWidth="1"/>
    <col min="9" max="9" width="10.21875" customWidth="1"/>
    <col min="10" max="10" width="11.5546875" bestFit="1" customWidth="1"/>
    <col min="11" max="12" width="12.5546875" bestFit="1" customWidth="1"/>
  </cols>
  <sheetData>
    <row r="1" spans="1:12" x14ac:dyDescent="0.3">
      <c r="A1" s="9" t="s">
        <v>67</v>
      </c>
      <c r="B1" s="9" t="s">
        <v>69</v>
      </c>
      <c r="K1" s="9" t="s">
        <v>68</v>
      </c>
      <c r="L1" t="s">
        <v>67</v>
      </c>
    </row>
    <row r="2" spans="1:12" x14ac:dyDescent="0.3">
      <c r="A2" s="9" t="s">
        <v>68</v>
      </c>
      <c r="B2" t="s">
        <v>22</v>
      </c>
      <c r="C2" t="s">
        <v>19</v>
      </c>
      <c r="D2" t="s">
        <v>27</v>
      </c>
      <c r="E2" t="s">
        <v>29</v>
      </c>
      <c r="F2" t="s">
        <v>25</v>
      </c>
      <c r="G2" t="s">
        <v>31</v>
      </c>
      <c r="H2" t="s">
        <v>59</v>
      </c>
      <c r="I2" t="s">
        <v>66</v>
      </c>
      <c r="K2" s="10" t="s">
        <v>43</v>
      </c>
      <c r="L2" s="11">
        <v>27000</v>
      </c>
    </row>
    <row r="3" spans="1:12" x14ac:dyDescent="0.3">
      <c r="A3" s="10" t="s">
        <v>43</v>
      </c>
      <c r="B3" s="11">
        <v>27000</v>
      </c>
      <c r="C3" s="11"/>
      <c r="D3" s="11"/>
      <c r="E3" s="11"/>
      <c r="F3" s="11"/>
      <c r="G3" s="11"/>
      <c r="H3" s="11"/>
      <c r="I3" s="11">
        <v>27000</v>
      </c>
      <c r="K3" s="10" t="s">
        <v>37</v>
      </c>
      <c r="L3" s="11">
        <v>852500</v>
      </c>
    </row>
    <row r="4" spans="1:12" x14ac:dyDescent="0.3">
      <c r="A4" s="10" t="s">
        <v>37</v>
      </c>
      <c r="B4" s="11">
        <v>20000</v>
      </c>
      <c r="C4" s="11">
        <v>50000</v>
      </c>
      <c r="D4" s="11"/>
      <c r="E4" s="11">
        <v>237500</v>
      </c>
      <c r="F4" s="11">
        <v>450000</v>
      </c>
      <c r="G4" s="11">
        <v>95000</v>
      </c>
      <c r="H4" s="11"/>
      <c r="I4" s="11">
        <v>852500</v>
      </c>
      <c r="K4" s="10" t="s">
        <v>40</v>
      </c>
      <c r="L4" s="11">
        <v>175000</v>
      </c>
    </row>
    <row r="5" spans="1:12" x14ac:dyDescent="0.3">
      <c r="A5" s="10" t="s">
        <v>40</v>
      </c>
      <c r="B5" s="11"/>
      <c r="C5" s="11">
        <v>153000</v>
      </c>
      <c r="D5" s="11">
        <v>12000</v>
      </c>
      <c r="E5" s="11"/>
      <c r="F5" s="11">
        <v>5000</v>
      </c>
      <c r="G5" s="11"/>
      <c r="H5" s="11">
        <v>5000</v>
      </c>
      <c r="I5" s="11">
        <v>175000</v>
      </c>
      <c r="K5" s="10" t="s">
        <v>66</v>
      </c>
      <c r="L5" s="11">
        <v>1054500</v>
      </c>
    </row>
    <row r="6" spans="1:12" x14ac:dyDescent="0.3">
      <c r="A6" s="10" t="s">
        <v>66</v>
      </c>
      <c r="B6" s="11">
        <v>47000</v>
      </c>
      <c r="C6" s="11">
        <v>203000</v>
      </c>
      <c r="D6" s="11">
        <v>12000</v>
      </c>
      <c r="E6" s="11">
        <v>237500</v>
      </c>
      <c r="F6" s="11">
        <v>455000</v>
      </c>
      <c r="G6" s="11">
        <v>95000</v>
      </c>
      <c r="H6" s="11">
        <v>5000</v>
      </c>
      <c r="I6" s="11">
        <v>1054500</v>
      </c>
    </row>
    <row r="18" spans="1:11" x14ac:dyDescent="0.3">
      <c r="A18" s="9" t="s">
        <v>69</v>
      </c>
      <c r="B18" t="s">
        <v>67</v>
      </c>
      <c r="J18" s="9" t="s">
        <v>70</v>
      </c>
      <c r="K18" t="s">
        <v>67</v>
      </c>
    </row>
    <row r="19" spans="1:11" x14ac:dyDescent="0.3">
      <c r="A19" s="10" t="s">
        <v>22</v>
      </c>
      <c r="B19" s="11">
        <v>47000</v>
      </c>
      <c r="J19" s="10" t="s">
        <v>23</v>
      </c>
      <c r="K19" s="12">
        <v>0.14604077761972498</v>
      </c>
    </row>
    <row r="20" spans="1:11" x14ac:dyDescent="0.3">
      <c r="A20" s="10" t="s">
        <v>19</v>
      </c>
      <c r="B20" s="11">
        <v>203000</v>
      </c>
      <c r="J20" s="10" t="s">
        <v>20</v>
      </c>
      <c r="K20" s="12">
        <v>0.84921763869132294</v>
      </c>
    </row>
    <row r="21" spans="1:11" x14ac:dyDescent="0.3">
      <c r="A21" s="10" t="s">
        <v>27</v>
      </c>
      <c r="B21" s="11">
        <v>12000</v>
      </c>
      <c r="J21" s="10" t="s">
        <v>59</v>
      </c>
      <c r="K21" s="12">
        <v>4.7415836889521104E-3</v>
      </c>
    </row>
    <row r="22" spans="1:11" x14ac:dyDescent="0.3">
      <c r="A22" s="10" t="s">
        <v>29</v>
      </c>
      <c r="B22" s="11">
        <v>237500</v>
      </c>
      <c r="J22" s="10" t="s">
        <v>66</v>
      </c>
      <c r="K22" s="12">
        <v>1</v>
      </c>
    </row>
    <row r="23" spans="1:11" x14ac:dyDescent="0.3">
      <c r="A23" s="10" t="s">
        <v>25</v>
      </c>
      <c r="B23" s="11">
        <v>455000</v>
      </c>
    </row>
    <row r="24" spans="1:11" x14ac:dyDescent="0.3">
      <c r="A24" s="10" t="s">
        <v>31</v>
      </c>
      <c r="B24" s="11">
        <v>95000</v>
      </c>
    </row>
    <row r="25" spans="1:11" x14ac:dyDescent="0.3">
      <c r="A25" s="10" t="s">
        <v>59</v>
      </c>
      <c r="B25" s="11">
        <v>5000</v>
      </c>
    </row>
    <row r="26" spans="1:11" x14ac:dyDescent="0.3">
      <c r="A26" s="10" t="s">
        <v>66</v>
      </c>
      <c r="B26" s="11">
        <v>1054500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CUSTOMERS</vt:lpstr>
      <vt:lpstr>PRODUCTS</vt:lpstr>
      <vt:lpstr>WORKING TABLE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Mukherjee</dc:creator>
  <cp:lastModifiedBy>Avinash Mukherjee</cp:lastModifiedBy>
  <dcterms:created xsi:type="dcterms:W3CDTF">2025-12-29T04:03:20Z</dcterms:created>
  <dcterms:modified xsi:type="dcterms:W3CDTF">2025-12-29T06:46:51Z</dcterms:modified>
</cp:coreProperties>
</file>